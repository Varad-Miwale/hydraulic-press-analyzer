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<sst xmlns="http://schemas.openxmlformats.org/spreadsheetml/2006/main" count="42" uniqueCount="37">
  <si>
    <t xml:space="preserve">Hydraulic press (Group 2) - concept comparison from Hopsan simulation</t>
  </si>
  <si>
    <t xml:space="preserve">Blue = values read from simulation output (Hopsan core, 1 ms step). Black = formulas. Requirement column is from the Danfoss brief.</t>
  </si>
  <si>
    <t xml:space="preserve">Metric</t>
  </si>
  <si>
    <t xml:space="preserve">Requirement</t>
  </si>
  <si>
    <t xml:space="preserve">Concept 1 (meter-out orifice)</t>
  </si>
  <si>
    <t xml:space="preserve">Concept 2 (counterbalance)</t>
  </si>
  <si>
    <t xml:space="preserve">Concept 3 (high-low + counterbalance)</t>
  </si>
  <si>
    <t xml:space="preserve">Fast-down speed [mm/s]</t>
  </si>
  <si>
    <t xml:space="preserve">200</t>
  </si>
  <si>
    <t xml:space="preserve">Working speed [mm/s]</t>
  </si>
  <si>
    <t xml:space="preserve">10</t>
  </si>
  <si>
    <t xml:space="preserve">Fast-up speed [mm/s]</t>
  </si>
  <si>
    <t xml:space="preserve">Position at end of working [mm]</t>
  </si>
  <si>
    <t xml:space="preserve">-250</t>
  </si>
  <si>
    <t xml:space="preserve">Hold drift 8.2-10 s [mm]</t>
  </si>
  <si>
    <t xml:space="preserve">0</t>
  </si>
  <si>
    <t xml:space="preserve">Home reached at [s]</t>
  </si>
  <si>
    <t xml:space="preserve">11.25</t>
  </si>
  <si>
    <t xml:space="preserve">Peak downward speed [mm/s]</t>
  </si>
  <si>
    <t xml:space="preserve">-</t>
  </si>
  <si>
    <t xml:space="preserve">Peak head-side pressure [bar]</t>
  </si>
  <si>
    <t xml:space="preserve">&lt; relief 170</t>
  </si>
  <si>
    <t xml:space="preserve">Peak rod-side pressure [bar]</t>
  </si>
  <si>
    <t xml:space="preserve">Pump hydraulic energy 2-11.35 s [kJ]</t>
  </si>
  <si>
    <t xml:space="preserve">Pump hydraulic energy 0-14 s [kJ]</t>
  </si>
  <si>
    <t xml:space="preserve">Energy lost over relief valve 2-11.35 s [kJ]</t>
  </si>
  <si>
    <t xml:space="preserve">Energy saving vs Concept 1 (active cycle)</t>
  </si>
  <si>
    <t xml:space="preserve">Active-cycle energy saving [%]</t>
  </si>
  <si>
    <t xml:space="preserve">Full 14 s energy saving [%]</t>
  </si>
  <si>
    <t xml:space="preserve">Share of pump energy lost over relief [%]</t>
  </si>
  <si>
    <t xml:space="preserve">Assumptions / limits:</t>
  </si>
  <si>
    <t xml:space="preserve">Same model basis for all three: 3000 kg dead load with gravity, +88,290 N press force 2.94-10 s (net 58,860 N, as in the team file), 85/50 mm cylinder, 300 mm stroke, relief 170 bar.</t>
  </si>
  <si>
    <t xml:space="preserve">Whether the 9 t is the force at the tool or the force the cylinder must develop is NOT confirmed. If it is the cylinder force, press force must be raised in all three models.</t>
  </si>
  <si>
    <t xml:space="preserve">Energy = integral of pump pressure x flow (hydraulic, not electric). Pump efficiency 0.9 and the 10 bar line loss from the brief are not added separately.</t>
  </si>
  <si>
    <t xml:space="preserve">Concept 3 pump A (43.1 cc/rev) + pump B (2.7 cc/rev) = 45.8 cc/rev total; pump A is dumped to tank by a timed 2/2 valve during working, hold and idle.</t>
  </si>
  <si>
    <t xml:space="preserve">Valve openings were tuned by simulation so each concept hits 10 mm/s and 200 mm/s; real hardware would need proportional valves with pressure compensation.</t>
  </si>
  <si>
    <t xml:space="preserve">Cost and complexity are not computed here - they need component prices (not in this data).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</si>
</sst>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5" min="3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2" t="s">
        <v>7</v>
      </c>
      <c r="B5" s="2" t="s">
        <v>8</v>
      </c>
      <c r="C5" s="4" t="n">
        <v>198.21</v>
      </c>
      <c r="D5" s="4" t="n">
        <v>199.15</v>
      </c>
      <c r="E5" s="4" t="n">
        <v>201.45</v>
      </c>
    </row>
    <row r="6" customFormat="false" ht="15" hidden="false" customHeight="false" outlineLevel="0" collapsed="false">
      <c r="A6" s="2" t="s">
        <v>9</v>
      </c>
      <c r="B6" s="2" t="s">
        <v>10</v>
      </c>
      <c r="C6" s="4" t="n">
        <v>10.19</v>
      </c>
      <c r="D6" s="4" t="n">
        <v>10</v>
      </c>
      <c r="E6" s="4" t="n">
        <v>10</v>
      </c>
    </row>
    <row r="7" customFormat="false" ht="15" hidden="false" customHeight="false" outlineLevel="0" collapsed="false">
      <c r="A7" s="2" t="s">
        <v>11</v>
      </c>
      <c r="B7" s="2" t="s">
        <v>8</v>
      </c>
      <c r="C7" s="4" t="n">
        <v>194.97</v>
      </c>
      <c r="D7" s="4" t="n">
        <v>200</v>
      </c>
      <c r="E7" s="4" t="n">
        <v>200</v>
      </c>
    </row>
    <row r="8" customFormat="false" ht="15" hidden="false" customHeight="false" outlineLevel="0" collapsed="false">
      <c r="A8" s="2" t="s">
        <v>12</v>
      </c>
      <c r="B8" s="2" t="s">
        <v>13</v>
      </c>
      <c r="C8" s="4" t="n">
        <v>-250.29</v>
      </c>
      <c r="D8" s="4" t="n">
        <v>-249.68</v>
      </c>
      <c r="E8" s="4" t="n">
        <v>-249.17</v>
      </c>
    </row>
    <row r="9" customFormat="false" ht="15" hidden="false" customHeight="false" outlineLevel="0" collapsed="false">
      <c r="A9" s="2" t="s">
        <v>14</v>
      </c>
      <c r="B9" s="2" t="s">
        <v>15</v>
      </c>
      <c r="C9" s="4" t="n">
        <v>0.01</v>
      </c>
      <c r="D9" s="4" t="n">
        <v>0.04</v>
      </c>
      <c r="E9" s="4" t="n">
        <v>0</v>
      </c>
    </row>
    <row r="10" customFormat="false" ht="15" hidden="false" customHeight="false" outlineLevel="0" collapsed="false">
      <c r="A10" s="2" t="s">
        <v>16</v>
      </c>
      <c r="B10" s="2" t="s">
        <v>17</v>
      </c>
      <c r="C10" s="4" t="n">
        <v>11.33</v>
      </c>
      <c r="D10" s="4" t="n">
        <v>11.33</v>
      </c>
      <c r="E10" s="4" t="n">
        <v>11.36</v>
      </c>
    </row>
    <row r="11" customFormat="false" ht="15" hidden="false" customHeight="false" outlineLevel="0" collapsed="false">
      <c r="A11" s="2" t="s">
        <v>18</v>
      </c>
      <c r="B11" s="2" t="s">
        <v>19</v>
      </c>
      <c r="C11" s="4" t="n">
        <v>442.85</v>
      </c>
      <c r="D11" s="4" t="n">
        <v>323.81</v>
      </c>
      <c r="E11" s="4" t="n">
        <v>361.17</v>
      </c>
    </row>
    <row r="12" customFormat="false" ht="15" hidden="false" customHeight="false" outlineLevel="0" collapsed="false">
      <c r="A12" s="2" t="s">
        <v>20</v>
      </c>
      <c r="B12" s="2" t="s">
        <v>21</v>
      </c>
      <c r="C12" s="4" t="n">
        <v>174.85</v>
      </c>
      <c r="D12" s="4" t="n">
        <v>174.34</v>
      </c>
      <c r="E12" s="4" t="n">
        <v>170.8</v>
      </c>
    </row>
    <row r="13" customFormat="false" ht="15" hidden="false" customHeight="false" outlineLevel="0" collapsed="false">
      <c r="A13" s="2" t="s">
        <v>22</v>
      </c>
      <c r="B13" s="2" t="s">
        <v>19</v>
      </c>
      <c r="C13" s="4" t="n">
        <v>273.23</v>
      </c>
      <c r="D13" s="4" t="n">
        <v>194.47</v>
      </c>
      <c r="E13" s="4" t="n">
        <v>173.77</v>
      </c>
    </row>
    <row r="14" customFormat="false" ht="15" hidden="false" customHeight="false" outlineLevel="0" collapsed="false">
      <c r="A14" s="2" t="s">
        <v>23</v>
      </c>
      <c r="B14" s="2" t="s">
        <v>19</v>
      </c>
      <c r="C14" s="4" t="n">
        <v>168.73</v>
      </c>
      <c r="D14" s="4" t="n">
        <v>163.38</v>
      </c>
      <c r="E14" s="4" t="n">
        <v>33.88</v>
      </c>
    </row>
    <row r="15" customFormat="false" ht="15" hidden="false" customHeight="false" outlineLevel="0" collapsed="false">
      <c r="A15" s="2" t="s">
        <v>24</v>
      </c>
      <c r="B15" s="2" t="s">
        <v>19</v>
      </c>
      <c r="C15" s="4" t="n">
        <v>257.78</v>
      </c>
      <c r="D15" s="4" t="n">
        <v>253.45</v>
      </c>
      <c r="E15" s="4" t="n">
        <v>43.68</v>
      </c>
    </row>
    <row r="16" customFormat="false" ht="15" hidden="false" customHeight="false" outlineLevel="0" collapsed="false">
      <c r="A16" s="2" t="s">
        <v>25</v>
      </c>
      <c r="B16" s="2" t="s">
        <v>19</v>
      </c>
      <c r="C16" s="4" t="n">
        <v>140.6</v>
      </c>
      <c r="D16" s="4" t="n">
        <v>139.14</v>
      </c>
      <c r="E16" s="4" t="n">
        <v>9.35</v>
      </c>
    </row>
    <row r="18" customFormat="false" ht="15" hidden="false" customHeight="false" outlineLevel="0" collapsed="false">
      <c r="A18" s="5" t="s">
        <v>26</v>
      </c>
    </row>
    <row r="19" customFormat="false" ht="15" hidden="false" customHeight="false" outlineLevel="0" collapsed="false">
      <c r="A19" s="2" t="s">
        <v>27</v>
      </c>
      <c r="C19" s="6" t="n">
        <f aca="false">1-C14/$C14</f>
        <v>0</v>
      </c>
      <c r="D19" s="6" t="n">
        <f aca="false">1-D14/$C14</f>
        <v>0.0317074616250814</v>
      </c>
      <c r="E19" s="6" t="n">
        <f aca="false">1-E14/$C14</f>
        <v>0.799205831802288</v>
      </c>
    </row>
    <row r="20" customFormat="false" ht="15" hidden="false" customHeight="false" outlineLevel="0" collapsed="false">
      <c r="A20" s="2" t="s">
        <v>28</v>
      </c>
      <c r="C20" s="6" t="n">
        <f aca="false">1-C15/$C15</f>
        <v>0</v>
      </c>
      <c r="D20" s="6" t="n">
        <f aca="false">1-D15/$C15</f>
        <v>0.0167972689890604</v>
      </c>
      <c r="E20" s="6" t="n">
        <f aca="false">1-E15/$C15</f>
        <v>0.830553184886337</v>
      </c>
    </row>
    <row r="21" customFormat="false" ht="15" hidden="false" customHeight="false" outlineLevel="0" collapsed="false">
      <c r="A21" s="2" t="s">
        <v>29</v>
      </c>
      <c r="C21" s="6" t="n">
        <f aca="false">C16/C14</f>
        <v>0.833283944763824</v>
      </c>
      <c r="D21" s="6" t="n">
        <f aca="false">D16/D14</f>
        <v>0.851634226955564</v>
      </c>
      <c r="E21" s="6" t="n">
        <f aca="false">E16/E14</f>
        <v>0.275974025974026</v>
      </c>
    </row>
    <row r="23" customFormat="false" ht="15" hidden="false" customHeight="false" outlineLevel="0" collapsed="false">
      <c r="A23" s="5" t="s">
        <v>30</v>
      </c>
    </row>
    <row r="24" customFormat="false" ht="15" hidden="false" customHeight="false" outlineLevel="0" collapsed="false">
      <c r="A24" s="2" t="s">
        <v>31</v>
      </c>
    </row>
    <row r="25" customFormat="false" ht="15" hidden="false" customHeight="false" outlineLevel="0" collapsed="false">
      <c r="A25" s="2" t="s">
        <v>32</v>
      </c>
    </row>
    <row r="26" customFormat="false" ht="15" hidden="false" customHeight="false" outlineLevel="0" collapsed="false">
      <c r="A26" s="2" t="s">
        <v>33</v>
      </c>
    </row>
    <row r="27" customFormat="false" ht="15" hidden="false" customHeight="false" outlineLevel="0" collapsed="false">
      <c r="A27" s="2" t="s">
        <v>34</v>
      </c>
    </row>
    <row r="28" customFormat="false" ht="15" hidden="false" customHeight="false" outlineLevel="0" collapsed="false">
      <c r="A28" s="2" t="s">
        <v>35</v>
      </c>
    </row>
    <row r="29" customFormat="false" ht="15" hidden="false" customHeight="false" outlineLevel="0" collapsed="false">
      <c r="A29" s="2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2026-10-03T17:07:48Z</dcterms:created>
  <dc:creator>openpyxl</dc:creator>
  <dc:description/>
  <dc:language>en-US</dc:language>
  <cp:lastModifiedBy/>
  <dcterms:modified xsi:type="dcterms:W3CDTF">2026-10-03T17:07:48Z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